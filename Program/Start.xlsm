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Coding\_Ecologix\_Github\GitHub EA v1.4.1 от 22.08.2024\"/>
    </mc:Choice>
  </mc:AlternateContent>
  <bookViews>
    <workbookView xWindow="0" yWindow="9450" windowWidth="21840" windowHeight="11145" tabRatio="732"/>
  </bookViews>
  <sheets>
    <sheet name="Результаты участников" sheetId="13" r:id="rId1"/>
  </sheets>
  <functionGroups builtInGroupCount="18"/>
  <definedNames>
    <definedName name="_xlnm._FilterDatabase" localSheetId="0" hidden="1">'Результаты участников'!$C$2:$C$10</definedName>
    <definedName name="ave">#REF!</definedName>
    <definedName name="PT">#REF!</definedName>
  </definedNames>
  <calcPr calcId="162913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10" i="13" l="1"/>
  <c r="AT9" i="13"/>
  <c r="AT8" i="13"/>
  <c r="AT7" i="13"/>
  <c r="AT6" i="13"/>
  <c r="AT5" i="13"/>
  <c r="AT4" i="13"/>
  <c r="AU4" i="13" s="1"/>
  <c r="AQ10" i="13"/>
  <c r="AU10" i="13" s="1"/>
  <c r="AQ9" i="13"/>
  <c r="AQ8" i="13"/>
  <c r="AQ7" i="13"/>
  <c r="AQ6" i="13"/>
  <c r="AQ5" i="13"/>
  <c r="AQ4" i="13"/>
  <c r="AN10" i="13"/>
  <c r="AN9" i="13"/>
  <c r="AN8" i="13"/>
  <c r="AN7" i="13"/>
  <c r="AN6" i="13"/>
  <c r="AN5" i="13"/>
  <c r="AN4" i="13"/>
  <c r="AJ9" i="13"/>
  <c r="AK9" i="13" s="1"/>
  <c r="AK10" i="13"/>
  <c r="AK8" i="13"/>
  <c r="AJ7" i="13"/>
  <c r="AK7" i="13" s="1"/>
  <c r="AK6" i="13"/>
  <c r="AO6" i="13" s="1"/>
  <c r="AK5" i="13"/>
  <c r="AK4" i="13"/>
  <c r="AU9" i="13"/>
  <c r="AU8" i="13"/>
  <c r="AU7" i="13"/>
  <c r="AO8" i="13"/>
  <c r="AC10" i="13"/>
  <c r="AC9" i="13"/>
  <c r="AC8" i="13"/>
  <c r="AC7" i="13"/>
  <c r="AC6" i="13"/>
  <c r="AC5" i="13"/>
  <c r="AC4" i="13"/>
  <c r="W10" i="13"/>
  <c r="W9" i="13"/>
  <c r="W8" i="13"/>
  <c r="W7" i="13"/>
  <c r="W6" i="13"/>
  <c r="W5" i="13"/>
  <c r="W4" i="13"/>
  <c r="Q10" i="13"/>
  <c r="Q9" i="13"/>
  <c r="Q8" i="13"/>
  <c r="Q7" i="13"/>
  <c r="Q6" i="13"/>
  <c r="Q5" i="13"/>
  <c r="Q4" i="13"/>
  <c r="AH5" i="13"/>
  <c r="AH6" i="13"/>
  <c r="AH7" i="13"/>
  <c r="AH8" i="13"/>
  <c r="AH9" i="13"/>
  <c r="AH10" i="13"/>
  <c r="AH4" i="13"/>
  <c r="AE10" i="13"/>
  <c r="AE9" i="13"/>
  <c r="AE8" i="13"/>
  <c r="AE7" i="13"/>
  <c r="AI7" i="13" s="1"/>
  <c r="AE6" i="13"/>
  <c r="AE4" i="13"/>
  <c r="AD5" i="13"/>
  <c r="AE5" i="13" s="1"/>
  <c r="AI6" i="13" l="1"/>
  <c r="AO10" i="13"/>
  <c r="AI4" i="13"/>
  <c r="AU6" i="13"/>
  <c r="AO9" i="13"/>
  <c r="AO4" i="13"/>
  <c r="AO7" i="13"/>
  <c r="AI8" i="13"/>
  <c r="AI10" i="13"/>
  <c r="AI9" i="13"/>
  <c r="AI5" i="13"/>
  <c r="AU5" i="13"/>
  <c r="AO5" i="13"/>
</calcChain>
</file>

<file path=xl/sharedStrings.xml><?xml version="1.0" encoding="utf-8"?>
<sst xmlns="http://schemas.openxmlformats.org/spreadsheetml/2006/main" count="155" uniqueCount="89">
  <si>
    <t>Номер тура</t>
  </si>
  <si>
    <t>Номер участника</t>
  </si>
  <si>
    <t>расш. неопр.</t>
  </si>
  <si>
    <t>En</t>
  </si>
  <si>
    <t>1/ч</t>
  </si>
  <si>
    <t>Кратность воздухообмена. Приток. 1/ч</t>
  </si>
  <si>
    <t>Кратность воздухообмена. Вытяжка. 1/ч</t>
  </si>
  <si>
    <t>Скорость воздушного потока. Канал. м/с</t>
  </si>
  <si>
    <t>56-34-34-151</t>
  </si>
  <si>
    <t>Скорость воздушного потока. Вытяжка. м/с</t>
  </si>
  <si>
    <t>Скорость воздушного потока. Приток. м/с</t>
  </si>
  <si>
    <t>ОО "Испытательная лаборатория"</t>
  </si>
  <si>
    <t>49-18-22-002</t>
  </si>
  <si>
    <t>ОУ «Май»</t>
  </si>
  <si>
    <t>2424-242-42424</t>
  </si>
  <si>
    <t>4452-34-23232</t>
  </si>
  <si>
    <t>АО «Рога и копыта»</t>
  </si>
  <si>
    <t>228-1488-152</t>
  </si>
  <si>
    <t>participantNumber</t>
  </si>
  <si>
    <t>participantName</t>
  </si>
  <si>
    <t>valueName</t>
  </si>
  <si>
    <t>valueUnit</t>
  </si>
  <si>
    <t>ООО «Молоко»</t>
  </si>
  <si>
    <t>666-6698-565</t>
  </si>
  <si>
    <t>99-18-22-002</t>
  </si>
  <si>
    <t>00-18-22-002</t>
  </si>
  <si>
    <t>м/с</t>
  </si>
  <si>
    <t>2352-34-23232</t>
  </si>
  <si>
    <t>ИП Клешня А.Я.</t>
  </si>
  <si>
    <t>valueSubname</t>
  </si>
  <si>
    <t>Приток</t>
  </si>
  <si>
    <t>Скорость воздушного потока</t>
  </si>
  <si>
    <t>Вытяжка</t>
  </si>
  <si>
    <t>Канал</t>
  </si>
  <si>
    <t>Кратность воздухообмена</t>
  </si>
  <si>
    <t>99-18-24-001</t>
  </si>
  <si>
    <t>Чэд Даймонд</t>
  </si>
  <si>
    <t>4-8-15-16-23-32</t>
  </si>
  <si>
    <t>Тип участника</t>
  </si>
  <si>
    <t>participantType</t>
  </si>
  <si>
    <t>испытательная лаборатория</t>
  </si>
  <si>
    <t>полный ПЭ</t>
  </si>
  <si>
    <t>Кратность воздухообмена. Канал. 1/ч</t>
  </si>
  <si>
    <t>ФГБУ «Бу-Бу-бу»</t>
  </si>
  <si>
    <t>ПАО «ВторМерБытСытШмяк»</t>
  </si>
  <si>
    <t>независимый эксперт</t>
  </si>
  <si>
    <t>Протокол Приписанного значения</t>
  </si>
  <si>
    <t>Приписанное значение</t>
  </si>
  <si>
    <t>Расширенная неопределённость приписанного значения</t>
  </si>
  <si>
    <t>Результат участника</t>
  </si>
  <si>
    <t>tourNumber</t>
  </si>
  <si>
    <t>#</t>
  </si>
  <si>
    <t>Уникальный номер записи 
об аккредитации 
в реестре аккредитованных лиц</t>
  </si>
  <si>
    <t>participantUniqueAccreditationNumber</t>
  </si>
  <si>
    <t>ИНН</t>
  </si>
  <si>
    <t>ОГРН</t>
  </si>
  <si>
    <t>Юридический адрес</t>
  </si>
  <si>
    <t>Дата выдачи отчётных документов</t>
  </si>
  <si>
    <t>participantINN</t>
  </si>
  <si>
    <t>participantOGRN</t>
  </si>
  <si>
    <t>participantLegalAddress</t>
  </si>
  <si>
    <t>issueDate</t>
  </si>
  <si>
    <t>777 888 99 88</t>
  </si>
  <si>
    <t>778 888 99 88</t>
  </si>
  <si>
    <t>779 888 99 88</t>
  </si>
  <si>
    <t>780 888 99 88</t>
  </si>
  <si>
    <t>781 888 99 88</t>
  </si>
  <si>
    <t>782 888 99 88</t>
  </si>
  <si>
    <t>783 888 99 88</t>
  </si>
  <si>
    <t>123 456 789 0</t>
  </si>
  <si>
    <t>124 456 789 0</t>
  </si>
  <si>
    <t>125 456 789 0</t>
  </si>
  <si>
    <t>126 456 789 0</t>
  </si>
  <si>
    <t>127 456 789 0</t>
  </si>
  <si>
    <t>128 456 789 0</t>
  </si>
  <si>
    <t>129 456 789 0</t>
  </si>
  <si>
    <t>www Ленинград spb.ru</t>
  </si>
  <si>
    <t>Наименование 
организации 
участника</t>
  </si>
  <si>
    <t>Адрес 1</t>
  </si>
  <si>
    <t>Адрес 2</t>
  </si>
  <si>
    <t>Адрес 3</t>
  </si>
  <si>
    <t>Адрес 4</t>
  </si>
  <si>
    <t>Адрес 5</t>
  </si>
  <si>
    <t>Адрес 6</t>
  </si>
  <si>
    <t>Метод получения приписанного значения</t>
  </si>
  <si>
    <t>referenceValueObtainMethod</t>
  </si>
  <si>
    <t>ATHF</t>
  </si>
  <si>
    <t>NSFW</t>
  </si>
  <si>
    <t>LMAO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</si>
</sst>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2" fontId="0" fillId="0" borderId="7" xfId="0" applyNumberFormat="1" applyFill="1" applyBorder="1" applyAlignment="1">
      <alignment horizontal="center" vertical="center" wrapText="1"/>
    </xf>
    <xf numFmtId="2" fontId="0" fillId="0" borderId="10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 wrapText="1"/>
    </xf>
    <xf numFmtId="14" fontId="3" fillId="0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164" fontId="0" fillId="2" borderId="8" xfId="0" applyNumberForma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64" fontId="0" fillId="0" borderId="8" xfId="0" applyNumberForma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165" fontId="0" fillId="0" borderId="15" xfId="0" applyNumberFormat="1" applyBorder="1" applyAlignment="1">
      <alignment horizontal="center" vertical="center" wrapText="1"/>
    </xf>
    <xf numFmtId="164" fontId="0" fillId="0" borderId="13" xfId="0" applyNumberFormat="1" applyFill="1" applyBorder="1" applyAlignment="1">
      <alignment horizontal="center" vertical="center" wrapText="1"/>
    </xf>
    <xf numFmtId="164" fontId="0" fillId="0" borderId="13" xfId="0" applyNumberFormat="1" applyBorder="1" applyAlignment="1">
      <alignment horizontal="center" vertical="center" wrapText="1"/>
    </xf>
    <xf numFmtId="164" fontId="0" fillId="2" borderId="13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outlinePr summaryRight="0"/>
  </sheetPr>
  <dimension ref="A1:AU10"/>
  <sheetViews>
    <sheetView tabSelected="1" zoomScaleNormal="100" workbookViewId="0">
      <selection activeCell="D11" sqref="D11"/>
    </sheetView>
  </sheetViews>
  <sheetFormatPr defaultColWidth="9.140625" defaultRowHeight="15" outlineLevelCol="1" x14ac:dyDescent="0.25"/>
  <cols>
    <col min="1" max="1" width="8.28515625" style="15" customWidth="1"/>
    <col min="2" max="2" width="18.28515625" style="1" customWidth="1"/>
    <col min="3" max="3" width="10.140625" style="1" customWidth="1"/>
    <col min="4" max="4" width="22" style="1" customWidth="1"/>
    <col min="5" max="5" width="15.7109375" style="23" customWidth="1" outlineLevel="1"/>
    <col min="6" max="6" width="20.5703125" style="1" customWidth="1" outlineLevel="1"/>
    <col min="7" max="7" width="16" style="34" customWidth="1" outlineLevel="1"/>
    <col min="8" max="8" width="14.85546875" style="34" customWidth="1" outlineLevel="1"/>
    <col min="9" max="9" width="20.5703125" style="34" customWidth="1" outlineLevel="1"/>
    <col min="10" max="10" width="20.5703125" style="34" customWidth="1"/>
    <col min="11" max="11" width="20.5703125" style="41" customWidth="1"/>
    <col min="12" max="12" width="12.5703125" style="10" customWidth="1"/>
    <col min="13" max="13" width="9.140625" style="3" customWidth="1"/>
    <col min="14" max="14" width="17.28515625" style="3" customWidth="1"/>
    <col min="15" max="15" width="12.5703125" style="3" customWidth="1"/>
    <col min="16" max="16" width="16.7109375" style="3" customWidth="1"/>
    <col min="17" max="17" width="6.42578125" style="14" customWidth="1"/>
    <col min="18" max="18" width="9.7109375" style="10" bestFit="1" customWidth="1"/>
    <col min="19" max="19" width="9.140625" style="3" customWidth="1"/>
    <col min="20" max="20" width="14.7109375" style="3" bestFit="1" customWidth="1"/>
    <col min="21" max="21" width="13.28515625" style="3" bestFit="1" customWidth="1"/>
    <col min="22" max="22" width="14" style="3" bestFit="1" customWidth="1"/>
    <col min="23" max="23" width="6.28515625" style="11" customWidth="1"/>
    <col min="24" max="24" width="9.7109375" style="10" bestFit="1" customWidth="1"/>
    <col min="25" max="25" width="12.7109375" style="3" bestFit="1" customWidth="1"/>
    <col min="26" max="26" width="16.7109375" style="3" bestFit="1" customWidth="1"/>
    <col min="27" max="27" width="13.28515625" style="3" bestFit="1" customWidth="1"/>
    <col min="28" max="28" width="17.7109375" style="3" bestFit="1" customWidth="1"/>
    <col min="29" max="29" width="9.140625" style="11"/>
    <col min="30" max="30" width="10" style="10" customWidth="1"/>
    <col min="31" max="31" width="9.140625" style="3"/>
    <col min="32" max="32" width="14.7109375" style="3" bestFit="1" customWidth="1"/>
    <col min="33" max="33" width="13.28515625" style="3" bestFit="1" customWidth="1"/>
    <col min="34" max="34" width="14" style="3" bestFit="1" customWidth="1"/>
    <col min="35" max="35" width="9.140625" style="11"/>
    <col min="36" max="36" width="10" style="10" bestFit="1" customWidth="1"/>
    <col min="37" max="37" width="9.140625" style="3"/>
    <col min="38" max="38" width="16.7109375" style="3" bestFit="1" customWidth="1"/>
    <col min="39" max="39" width="13.28515625" style="3" bestFit="1" customWidth="1"/>
    <col min="40" max="40" width="14" style="3" bestFit="1" customWidth="1"/>
    <col min="41" max="41" width="9.140625" style="11"/>
    <col min="42" max="42" width="10" style="10" bestFit="1" customWidth="1"/>
    <col min="43" max="43" width="9.140625" style="3"/>
    <col min="44" max="44" width="13.5703125" style="3" bestFit="1" customWidth="1"/>
    <col min="45" max="45" width="13.28515625" style="3" bestFit="1" customWidth="1"/>
    <col min="46" max="46" width="17.7109375" style="3" bestFit="1" customWidth="1"/>
    <col min="47" max="47" width="9.140625" style="9"/>
    <col min="48" max="16384" width="9.140625" style="3"/>
  </cols>
  <sheetData>
    <row r="1" spans="1:47" s="16" customFormat="1" ht="15.75" thickBot="1" x14ac:dyDescent="0.3">
      <c r="A1" s="36" t="s">
        <v>51</v>
      </c>
      <c r="B1" s="16" t="s">
        <v>18</v>
      </c>
      <c r="C1" s="16" t="s">
        <v>50</v>
      </c>
      <c r="D1" s="16" t="s">
        <v>19</v>
      </c>
      <c r="E1" s="16" t="s">
        <v>39</v>
      </c>
      <c r="F1" s="16" t="s">
        <v>53</v>
      </c>
      <c r="G1" s="16" t="s">
        <v>58</v>
      </c>
      <c r="H1" s="16" t="s">
        <v>59</v>
      </c>
      <c r="I1" s="16" t="s">
        <v>60</v>
      </c>
      <c r="J1" s="16" t="s">
        <v>61</v>
      </c>
      <c r="K1" s="16" t="s">
        <v>85</v>
      </c>
      <c r="L1" s="17" t="s">
        <v>20</v>
      </c>
      <c r="M1" s="22" t="s">
        <v>31</v>
      </c>
      <c r="N1" s="16" t="s">
        <v>29</v>
      </c>
      <c r="O1" s="22" t="s">
        <v>30</v>
      </c>
      <c r="P1" s="16" t="s">
        <v>21</v>
      </c>
      <c r="Q1" s="22" t="s">
        <v>26</v>
      </c>
      <c r="R1" s="17" t="s">
        <v>20</v>
      </c>
      <c r="S1" s="22" t="s">
        <v>31</v>
      </c>
      <c r="T1" s="16" t="s">
        <v>29</v>
      </c>
      <c r="U1" s="22" t="s">
        <v>32</v>
      </c>
      <c r="V1" s="16" t="s">
        <v>21</v>
      </c>
      <c r="W1" s="22" t="s">
        <v>26</v>
      </c>
      <c r="X1" s="17" t="s">
        <v>20</v>
      </c>
      <c r="Y1" s="22" t="s">
        <v>31</v>
      </c>
      <c r="Z1" s="16" t="s">
        <v>29</v>
      </c>
      <c r="AA1" s="22" t="s">
        <v>33</v>
      </c>
      <c r="AB1" s="16" t="s">
        <v>21</v>
      </c>
      <c r="AC1" s="22" t="s">
        <v>26</v>
      </c>
      <c r="AD1" s="17" t="s">
        <v>20</v>
      </c>
      <c r="AE1" s="22" t="s">
        <v>34</v>
      </c>
      <c r="AF1" s="16" t="s">
        <v>29</v>
      </c>
      <c r="AG1" s="22" t="s">
        <v>30</v>
      </c>
      <c r="AH1" s="16" t="s">
        <v>21</v>
      </c>
      <c r="AI1" s="22" t="s">
        <v>4</v>
      </c>
      <c r="AJ1" s="17" t="s">
        <v>20</v>
      </c>
      <c r="AK1" s="22" t="s">
        <v>34</v>
      </c>
      <c r="AL1" s="16" t="s">
        <v>29</v>
      </c>
      <c r="AM1" s="22" t="s">
        <v>32</v>
      </c>
      <c r="AN1" s="16" t="s">
        <v>21</v>
      </c>
      <c r="AO1" s="22" t="s">
        <v>4</v>
      </c>
      <c r="AP1" s="17" t="s">
        <v>20</v>
      </c>
      <c r="AQ1" s="22" t="s">
        <v>34</v>
      </c>
      <c r="AR1" s="16" t="s">
        <v>29</v>
      </c>
      <c r="AS1" s="22" t="s">
        <v>33</v>
      </c>
      <c r="AT1" s="16" t="s">
        <v>21</v>
      </c>
      <c r="AU1" s="22" t="s">
        <v>4</v>
      </c>
    </row>
    <row r="2" spans="1:47" ht="27.6" customHeight="1" x14ac:dyDescent="0.25">
      <c r="B2" s="42" t="s">
        <v>1</v>
      </c>
      <c r="C2" s="42" t="s">
        <v>0</v>
      </c>
      <c r="D2" s="42" t="s">
        <v>77</v>
      </c>
      <c r="E2" s="42" t="s">
        <v>38</v>
      </c>
      <c r="F2" s="42" t="s">
        <v>52</v>
      </c>
      <c r="G2" s="42" t="s">
        <v>54</v>
      </c>
      <c r="H2" s="42" t="s">
        <v>55</v>
      </c>
      <c r="I2" s="42" t="s">
        <v>56</v>
      </c>
      <c r="J2" s="42" t="s">
        <v>57</v>
      </c>
      <c r="K2" s="42" t="s">
        <v>84</v>
      </c>
      <c r="L2" s="47" t="s">
        <v>10</v>
      </c>
      <c r="M2" s="44"/>
      <c r="N2" s="44"/>
      <c r="O2" s="44"/>
      <c r="P2" s="44"/>
      <c r="Q2" s="46"/>
      <c r="R2" s="43" t="s">
        <v>9</v>
      </c>
      <c r="S2" s="44"/>
      <c r="T2" s="44"/>
      <c r="U2" s="44"/>
      <c r="V2" s="44"/>
      <c r="W2" s="46"/>
      <c r="X2" s="43" t="s">
        <v>7</v>
      </c>
      <c r="Y2" s="44"/>
      <c r="Z2" s="44"/>
      <c r="AA2" s="44"/>
      <c r="AB2" s="44"/>
      <c r="AC2" s="46"/>
      <c r="AD2" s="43" t="s">
        <v>5</v>
      </c>
      <c r="AE2" s="44"/>
      <c r="AF2" s="44"/>
      <c r="AG2" s="44"/>
      <c r="AH2" s="44"/>
      <c r="AI2" s="46"/>
      <c r="AJ2" s="43" t="s">
        <v>6</v>
      </c>
      <c r="AK2" s="44"/>
      <c r="AL2" s="44"/>
      <c r="AM2" s="44"/>
      <c r="AN2" s="44"/>
      <c r="AO2" s="46"/>
      <c r="AP2" s="43" t="s">
        <v>42</v>
      </c>
      <c r="AQ2" s="44"/>
      <c r="AR2" s="44"/>
      <c r="AS2" s="44"/>
      <c r="AT2" s="44"/>
      <c r="AU2" s="45"/>
    </row>
    <row r="3" spans="1:47" ht="75" x14ac:dyDescent="0.25">
      <c r="B3" s="42"/>
      <c r="C3" s="42"/>
      <c r="D3" s="42"/>
      <c r="E3" s="42"/>
      <c r="F3" s="42"/>
      <c r="G3" s="42"/>
      <c r="H3" s="42"/>
      <c r="I3" s="42"/>
      <c r="J3" s="42"/>
      <c r="K3" s="42"/>
      <c r="L3" s="37" t="s">
        <v>49</v>
      </c>
      <c r="M3" s="4" t="s">
        <v>2</v>
      </c>
      <c r="N3" s="4" t="s">
        <v>46</v>
      </c>
      <c r="O3" s="4" t="s">
        <v>47</v>
      </c>
      <c r="P3" s="4" t="s">
        <v>48</v>
      </c>
      <c r="Q3" s="12" t="s">
        <v>3</v>
      </c>
      <c r="R3" s="8" t="s">
        <v>49</v>
      </c>
      <c r="S3" s="32" t="s">
        <v>2</v>
      </c>
      <c r="T3" s="32" t="s">
        <v>46</v>
      </c>
      <c r="U3" s="32" t="s">
        <v>47</v>
      </c>
      <c r="V3" s="32" t="s">
        <v>48</v>
      </c>
      <c r="W3" s="12" t="s">
        <v>3</v>
      </c>
      <c r="X3" s="8" t="s">
        <v>49</v>
      </c>
      <c r="Y3" s="35" t="s">
        <v>2</v>
      </c>
      <c r="Z3" s="35" t="s">
        <v>46</v>
      </c>
      <c r="AA3" s="35" t="s">
        <v>47</v>
      </c>
      <c r="AB3" s="35" t="s">
        <v>48</v>
      </c>
      <c r="AC3" s="12" t="s">
        <v>3</v>
      </c>
      <c r="AD3" s="8" t="s">
        <v>49</v>
      </c>
      <c r="AE3" s="35" t="s">
        <v>2</v>
      </c>
      <c r="AF3" s="35" t="s">
        <v>46</v>
      </c>
      <c r="AG3" s="35" t="s">
        <v>47</v>
      </c>
      <c r="AH3" s="35" t="s">
        <v>48</v>
      </c>
      <c r="AI3" s="12" t="s">
        <v>3</v>
      </c>
      <c r="AJ3" s="8" t="s">
        <v>49</v>
      </c>
      <c r="AK3" s="35" t="s">
        <v>2</v>
      </c>
      <c r="AL3" s="35" t="s">
        <v>46</v>
      </c>
      <c r="AM3" s="35" t="s">
        <v>47</v>
      </c>
      <c r="AN3" s="35" t="s">
        <v>48</v>
      </c>
      <c r="AO3" s="12" t="s">
        <v>3</v>
      </c>
      <c r="AP3" s="8" t="s">
        <v>49</v>
      </c>
      <c r="AQ3" s="35" t="s">
        <v>2</v>
      </c>
      <c r="AR3" s="35" t="s">
        <v>46</v>
      </c>
      <c r="AS3" s="35" t="s">
        <v>47</v>
      </c>
      <c r="AT3" s="35" t="s">
        <v>48</v>
      </c>
      <c r="AU3" s="12" t="s">
        <v>3</v>
      </c>
    </row>
    <row r="4" spans="1:47" s="2" customFormat="1" ht="30" x14ac:dyDescent="0.25">
      <c r="B4" s="18" t="s">
        <v>8</v>
      </c>
      <c r="C4" s="18">
        <v>9</v>
      </c>
      <c r="D4" s="18" t="s">
        <v>11</v>
      </c>
      <c r="E4" s="19" t="s">
        <v>40</v>
      </c>
      <c r="F4" s="19" t="s">
        <v>14</v>
      </c>
      <c r="G4" s="19" t="s">
        <v>62</v>
      </c>
      <c r="H4" s="19" t="s">
        <v>69</v>
      </c>
      <c r="I4" s="19" t="s">
        <v>76</v>
      </c>
      <c r="J4" s="19">
        <v>45505</v>
      </c>
      <c r="K4" s="19" t="s">
        <v>87</v>
      </c>
      <c r="L4" s="38">
        <v>106.5</v>
      </c>
      <c r="M4" s="26">
        <v>3.5</v>
      </c>
      <c r="N4" s="20"/>
      <c r="O4" s="26">
        <v>100</v>
      </c>
      <c r="P4" s="26">
        <v>5</v>
      </c>
      <c r="Q4" s="13">
        <f t="shared" ref="Q4:Q10" si="0">(L4-O4)/SQRT(SUMSQ(M4,P4))</f>
        <v>1.0650014966747527</v>
      </c>
      <c r="R4" s="31">
        <v>89</v>
      </c>
      <c r="S4" s="26">
        <v>9</v>
      </c>
      <c r="T4" s="20"/>
      <c r="U4" s="26">
        <v>95</v>
      </c>
      <c r="V4" s="26">
        <v>7</v>
      </c>
      <c r="W4" s="13">
        <f t="shared" ref="W4:W10" si="1">(R4-U4)/SQRT(SUMSQ(S4,V4))</f>
        <v>-0.52623481158421759</v>
      </c>
      <c r="X4" s="28"/>
      <c r="Y4" s="29"/>
      <c r="Z4" s="20"/>
      <c r="AA4" s="26">
        <v>150</v>
      </c>
      <c r="AB4" s="26">
        <v>10</v>
      </c>
      <c r="AC4" s="13">
        <f t="shared" ref="AC4:AC10" si="2">(X4-AA4)/SQRT(SUMSQ(Y4,AB4))</f>
        <v>-15</v>
      </c>
      <c r="AD4" s="31">
        <v>10.5</v>
      </c>
      <c r="AE4" s="26">
        <f>AD4*0.07</f>
        <v>0.7350000000000001</v>
      </c>
      <c r="AF4" s="20"/>
      <c r="AG4" s="26">
        <v>11</v>
      </c>
      <c r="AH4" s="27">
        <f>AG4*0.05</f>
        <v>0.55000000000000004</v>
      </c>
      <c r="AI4" s="13">
        <f t="shared" ref="AI4:AI10" si="3">(AD4-AG4)/SQRT(SUMSQ(AE4,AH4))</f>
        <v>-0.54466198621267181</v>
      </c>
      <c r="AJ4" s="31">
        <v>5.6</v>
      </c>
      <c r="AK4" s="26">
        <f>AJ4*0.2</f>
        <v>1.1199999999999999</v>
      </c>
      <c r="AL4" s="20"/>
      <c r="AM4" s="26">
        <v>5</v>
      </c>
      <c r="AN4" s="26">
        <f>AM4*0.15</f>
        <v>0.75</v>
      </c>
      <c r="AO4" s="13">
        <f t="shared" ref="AO4:AO10" si="4">(AJ4-AM4)/SQRT(SUMSQ(AK4,AN4))</f>
        <v>0.44512884480830767</v>
      </c>
      <c r="AP4" s="31">
        <v>15.8</v>
      </c>
      <c r="AQ4" s="26">
        <f>AP4*0.2</f>
        <v>3.16</v>
      </c>
      <c r="AR4" s="20"/>
      <c r="AS4" s="31">
        <v>15</v>
      </c>
      <c r="AT4" s="26">
        <f t="shared" ref="AT4:AT10" si="5">AS4*0.25</f>
        <v>3.75</v>
      </c>
      <c r="AU4" s="13">
        <f t="shared" ref="AU4:AU10" si="6">(AP4-AS4)/SQRT(SUMSQ(AQ4,AT4))</f>
        <v>0.1631359222230232</v>
      </c>
    </row>
    <row r="5" spans="1:47" x14ac:dyDescent="0.25">
      <c r="B5" s="33" t="s">
        <v>12</v>
      </c>
      <c r="C5" s="6">
        <v>25</v>
      </c>
      <c r="D5" s="6" t="s">
        <v>13</v>
      </c>
      <c r="E5" s="7" t="s">
        <v>36</v>
      </c>
      <c r="F5" s="7" t="s">
        <v>15</v>
      </c>
      <c r="G5" s="19" t="s">
        <v>63</v>
      </c>
      <c r="H5" s="19" t="s">
        <v>70</v>
      </c>
      <c r="I5" s="7" t="s">
        <v>78</v>
      </c>
      <c r="J5" s="19">
        <v>45506</v>
      </c>
      <c r="K5" s="19" t="s">
        <v>86</v>
      </c>
      <c r="L5" s="39">
        <v>95</v>
      </c>
      <c r="M5" s="25">
        <v>3</v>
      </c>
      <c r="N5" s="20"/>
      <c r="O5" s="26">
        <v>100</v>
      </c>
      <c r="P5" s="26">
        <v>5</v>
      </c>
      <c r="Q5" s="13">
        <f t="shared" si="0"/>
        <v>-0.8574929257125441</v>
      </c>
      <c r="R5" s="24">
        <v>91</v>
      </c>
      <c r="S5" s="25">
        <v>6</v>
      </c>
      <c r="T5" s="20"/>
      <c r="U5" s="26">
        <v>95</v>
      </c>
      <c r="V5" s="26">
        <v>7</v>
      </c>
      <c r="W5" s="13">
        <f t="shared" si="1"/>
        <v>-0.43386091563731233</v>
      </c>
      <c r="X5" s="24">
        <v>145</v>
      </c>
      <c r="Y5" s="25">
        <v>12</v>
      </c>
      <c r="Z5" s="20"/>
      <c r="AA5" s="26">
        <v>150</v>
      </c>
      <c r="AB5" s="26">
        <v>10</v>
      </c>
      <c r="AC5" s="13">
        <f t="shared" si="2"/>
        <v>-0.32009219983223997</v>
      </c>
      <c r="AD5" s="24">
        <f>12.3</f>
        <v>12.3</v>
      </c>
      <c r="AE5" s="25">
        <f>AD5*0.1</f>
        <v>1.2300000000000002</v>
      </c>
      <c r="AF5" s="20"/>
      <c r="AG5" s="26">
        <v>11</v>
      </c>
      <c r="AH5" s="27">
        <f t="shared" ref="AH5:AH10" si="7">AG5*0.05</f>
        <v>0.55000000000000004</v>
      </c>
      <c r="AI5" s="13">
        <f t="shared" si="3"/>
        <v>0.96484419167072144</v>
      </c>
      <c r="AJ5" s="24">
        <v>4.8</v>
      </c>
      <c r="AK5" s="25">
        <f>AJ5*0.2</f>
        <v>0.96</v>
      </c>
      <c r="AL5" s="20"/>
      <c r="AM5" s="26">
        <v>5</v>
      </c>
      <c r="AN5" s="26">
        <f t="shared" ref="AN5:AN10" si="8">AM5*0.15</f>
        <v>0.75</v>
      </c>
      <c r="AO5" s="13">
        <f t="shared" si="4"/>
        <v>-0.16417174452595085</v>
      </c>
      <c r="AP5" s="24">
        <v>13.9</v>
      </c>
      <c r="AQ5" s="25">
        <f>AP5*0.25</f>
        <v>3.4750000000000001</v>
      </c>
      <c r="AR5" s="20"/>
      <c r="AS5" s="24">
        <v>15</v>
      </c>
      <c r="AT5" s="25">
        <f t="shared" si="5"/>
        <v>3.75</v>
      </c>
      <c r="AU5" s="13">
        <f t="shared" si="6"/>
        <v>-0.21515699491248011</v>
      </c>
    </row>
    <row r="6" spans="1:47" s="2" customFormat="1" ht="30" x14ac:dyDescent="0.25">
      <c r="B6" s="33" t="s">
        <v>37</v>
      </c>
      <c r="C6" s="33">
        <v>9</v>
      </c>
      <c r="D6" s="33" t="s">
        <v>16</v>
      </c>
      <c r="E6" s="19" t="s">
        <v>40</v>
      </c>
      <c r="F6" s="5" t="s">
        <v>17</v>
      </c>
      <c r="G6" s="19" t="s">
        <v>64</v>
      </c>
      <c r="H6" s="19" t="s">
        <v>71</v>
      </c>
      <c r="I6" s="7" t="s">
        <v>79</v>
      </c>
      <c r="J6" s="19">
        <v>45507</v>
      </c>
      <c r="K6" s="19" t="s">
        <v>88</v>
      </c>
      <c r="L6" s="40"/>
      <c r="M6" s="29"/>
      <c r="N6" s="21"/>
      <c r="O6" s="26">
        <v>100</v>
      </c>
      <c r="P6" s="26">
        <v>5</v>
      </c>
      <c r="Q6" s="13">
        <f t="shared" si="0"/>
        <v>-20</v>
      </c>
      <c r="R6" s="24">
        <v>90</v>
      </c>
      <c r="S6" s="25">
        <v>5</v>
      </c>
      <c r="T6" s="21"/>
      <c r="U6" s="26">
        <v>95</v>
      </c>
      <c r="V6" s="26">
        <v>7</v>
      </c>
      <c r="W6" s="13">
        <f t="shared" si="1"/>
        <v>-0.58123819371909646</v>
      </c>
      <c r="X6" s="24">
        <v>139</v>
      </c>
      <c r="Y6" s="25">
        <v>9</v>
      </c>
      <c r="Z6" s="21"/>
      <c r="AA6" s="26">
        <v>150</v>
      </c>
      <c r="AB6" s="26">
        <v>10</v>
      </c>
      <c r="AC6" s="13">
        <f t="shared" si="2"/>
        <v>-0.81762356087188293</v>
      </c>
      <c r="AD6" s="24">
        <v>9.8000000000000007</v>
      </c>
      <c r="AE6" s="25">
        <f>AD6*0.2</f>
        <v>1.9600000000000002</v>
      </c>
      <c r="AF6" s="21"/>
      <c r="AG6" s="26">
        <v>11</v>
      </c>
      <c r="AH6" s="27">
        <f t="shared" si="7"/>
        <v>0.55000000000000004</v>
      </c>
      <c r="AI6" s="13">
        <f t="shared" si="3"/>
        <v>-0.58947600655824739</v>
      </c>
      <c r="AJ6" s="24">
        <v>4.3</v>
      </c>
      <c r="AK6" s="25">
        <f>AJ6*0.1</f>
        <v>0.43</v>
      </c>
      <c r="AL6" s="21"/>
      <c r="AM6" s="26">
        <v>5</v>
      </c>
      <c r="AN6" s="26">
        <f t="shared" si="8"/>
        <v>0.75</v>
      </c>
      <c r="AO6" s="13">
        <f t="shared" si="4"/>
        <v>-0.80969506676937086</v>
      </c>
      <c r="AP6" s="24">
        <v>18.3</v>
      </c>
      <c r="AQ6" s="25">
        <f>AP6*0.15</f>
        <v>2.7450000000000001</v>
      </c>
      <c r="AR6" s="21"/>
      <c r="AS6" s="24">
        <v>15</v>
      </c>
      <c r="AT6" s="25">
        <f t="shared" si="5"/>
        <v>3.75</v>
      </c>
      <c r="AU6" s="13">
        <f t="shared" si="6"/>
        <v>0.71008763007393916</v>
      </c>
    </row>
    <row r="7" spans="1:47" ht="30" x14ac:dyDescent="0.25">
      <c r="B7" s="33" t="s">
        <v>24</v>
      </c>
      <c r="C7" s="6">
        <v>25</v>
      </c>
      <c r="D7" s="6" t="s">
        <v>22</v>
      </c>
      <c r="E7" s="19" t="s">
        <v>40</v>
      </c>
      <c r="F7" s="7" t="s">
        <v>15</v>
      </c>
      <c r="G7" s="19" t="s">
        <v>65</v>
      </c>
      <c r="H7" s="19" t="s">
        <v>72</v>
      </c>
      <c r="I7" s="7" t="s">
        <v>80</v>
      </c>
      <c r="J7" s="19">
        <v>45508</v>
      </c>
      <c r="K7" s="19" t="s">
        <v>87</v>
      </c>
      <c r="L7" s="39">
        <v>98</v>
      </c>
      <c r="M7" s="25">
        <v>4</v>
      </c>
      <c r="N7" s="20"/>
      <c r="O7" s="26">
        <v>100</v>
      </c>
      <c r="P7" s="26">
        <v>5</v>
      </c>
      <c r="Q7" s="13">
        <f t="shared" si="0"/>
        <v>-0.31234752377721214</v>
      </c>
      <c r="R7" s="28"/>
      <c r="S7" s="29"/>
      <c r="T7" s="20"/>
      <c r="U7" s="26">
        <v>95</v>
      </c>
      <c r="V7" s="26">
        <v>7</v>
      </c>
      <c r="W7" s="13">
        <f t="shared" si="1"/>
        <v>-13.571428571428571</v>
      </c>
      <c r="X7" s="24">
        <v>156</v>
      </c>
      <c r="Y7" s="25">
        <v>18</v>
      </c>
      <c r="Z7" s="20"/>
      <c r="AA7" s="26">
        <v>150</v>
      </c>
      <c r="AB7" s="26">
        <v>10</v>
      </c>
      <c r="AC7" s="13">
        <f t="shared" si="2"/>
        <v>0.29138575870717925</v>
      </c>
      <c r="AD7" s="24">
        <v>8.6999999999999993</v>
      </c>
      <c r="AE7" s="25">
        <f>AD7*0.15</f>
        <v>1.3049999999999999</v>
      </c>
      <c r="AF7" s="20"/>
      <c r="AG7" s="26">
        <v>11</v>
      </c>
      <c r="AH7" s="27">
        <f t="shared" si="7"/>
        <v>0.55000000000000004</v>
      </c>
      <c r="AI7" s="13">
        <f t="shared" si="3"/>
        <v>-1.6241038504239482</v>
      </c>
      <c r="AJ7" s="24">
        <f>4.6</f>
        <v>4.5999999999999996</v>
      </c>
      <c r="AK7" s="25">
        <f>AJ7*0.15</f>
        <v>0.69</v>
      </c>
      <c r="AL7" s="20"/>
      <c r="AM7" s="26">
        <v>5</v>
      </c>
      <c r="AN7" s="26">
        <f t="shared" si="8"/>
        <v>0.75</v>
      </c>
      <c r="AO7" s="13">
        <f t="shared" si="4"/>
        <v>-0.39249653960630948</v>
      </c>
      <c r="AP7" s="24">
        <v>16.5</v>
      </c>
      <c r="AQ7" s="25">
        <f>AP7*0.1</f>
        <v>1.6500000000000001</v>
      </c>
      <c r="AR7" s="20"/>
      <c r="AS7" s="24">
        <v>15</v>
      </c>
      <c r="AT7" s="25">
        <f t="shared" si="5"/>
        <v>3.75</v>
      </c>
      <c r="AU7" s="13">
        <f t="shared" si="6"/>
        <v>0.36612601296910624</v>
      </c>
    </row>
    <row r="8" spans="1:47" s="30" customFormat="1" ht="45" x14ac:dyDescent="0.25">
      <c r="B8" s="33" t="s">
        <v>23</v>
      </c>
      <c r="C8" s="6">
        <v>25</v>
      </c>
      <c r="D8" s="6" t="s">
        <v>44</v>
      </c>
      <c r="E8" s="19" t="s">
        <v>40</v>
      </c>
      <c r="F8" s="7" t="s">
        <v>15</v>
      </c>
      <c r="G8" s="19" t="s">
        <v>66</v>
      </c>
      <c r="H8" s="19" t="s">
        <v>73</v>
      </c>
      <c r="I8" s="7" t="s">
        <v>81</v>
      </c>
      <c r="J8" s="19">
        <v>45509</v>
      </c>
      <c r="K8" s="19" t="s">
        <v>86</v>
      </c>
      <c r="L8" s="39">
        <v>102</v>
      </c>
      <c r="M8" s="25">
        <v>5</v>
      </c>
      <c r="N8" s="20"/>
      <c r="O8" s="26">
        <v>100</v>
      </c>
      <c r="P8" s="26">
        <v>5</v>
      </c>
      <c r="Q8" s="13">
        <f t="shared" si="0"/>
        <v>0.28284271247461901</v>
      </c>
      <c r="R8" s="28"/>
      <c r="S8" s="29"/>
      <c r="T8" s="20"/>
      <c r="U8" s="26">
        <v>95</v>
      </c>
      <c r="V8" s="26">
        <v>7</v>
      </c>
      <c r="W8" s="13">
        <f t="shared" si="1"/>
        <v>-13.571428571428571</v>
      </c>
      <c r="X8" s="24">
        <v>147</v>
      </c>
      <c r="Y8" s="25">
        <v>15</v>
      </c>
      <c r="Z8" s="20"/>
      <c r="AA8" s="26">
        <v>150</v>
      </c>
      <c r="AB8" s="26">
        <v>10</v>
      </c>
      <c r="AC8" s="13">
        <f t="shared" si="2"/>
        <v>-0.16641005886756874</v>
      </c>
      <c r="AD8" s="24">
        <v>7.9</v>
      </c>
      <c r="AE8" s="25">
        <f>AD8*0.1</f>
        <v>0.79</v>
      </c>
      <c r="AF8" s="20"/>
      <c r="AG8" s="26">
        <v>11</v>
      </c>
      <c r="AH8" s="27">
        <f t="shared" si="7"/>
        <v>0.55000000000000004</v>
      </c>
      <c r="AI8" s="13">
        <f t="shared" si="3"/>
        <v>-3.2204424742877205</v>
      </c>
      <c r="AJ8" s="24">
        <v>5.0999999999999996</v>
      </c>
      <c r="AK8" s="25">
        <f>AJ8*0.15</f>
        <v>0.7649999999999999</v>
      </c>
      <c r="AL8" s="20"/>
      <c r="AM8" s="26">
        <v>5</v>
      </c>
      <c r="AN8" s="26">
        <f t="shared" si="8"/>
        <v>0.75</v>
      </c>
      <c r="AO8" s="13">
        <f t="shared" si="4"/>
        <v>9.3342854790140664E-2</v>
      </c>
      <c r="AP8" s="24">
        <v>14.9</v>
      </c>
      <c r="AQ8" s="25">
        <f>AP8*0.2</f>
        <v>2.9800000000000004</v>
      </c>
      <c r="AR8" s="20"/>
      <c r="AS8" s="24">
        <v>15</v>
      </c>
      <c r="AT8" s="25">
        <f t="shared" si="5"/>
        <v>3.75</v>
      </c>
      <c r="AU8" s="13">
        <f t="shared" si="6"/>
        <v>-2.0877372683495928E-2</v>
      </c>
    </row>
    <row r="9" spans="1:47" s="2" customFormat="1" ht="30" x14ac:dyDescent="0.25">
      <c r="B9" s="33" t="s">
        <v>25</v>
      </c>
      <c r="C9" s="6">
        <v>23</v>
      </c>
      <c r="D9" s="6" t="s">
        <v>43</v>
      </c>
      <c r="E9" s="7" t="s">
        <v>45</v>
      </c>
      <c r="F9" s="7" t="s">
        <v>15</v>
      </c>
      <c r="G9" s="19" t="s">
        <v>67</v>
      </c>
      <c r="H9" s="19" t="s">
        <v>74</v>
      </c>
      <c r="I9" s="7" t="s">
        <v>82</v>
      </c>
      <c r="J9" s="19">
        <v>45510</v>
      </c>
      <c r="K9" s="19" t="s">
        <v>88</v>
      </c>
      <c r="L9" s="39">
        <v>101</v>
      </c>
      <c r="M9" s="25">
        <v>6</v>
      </c>
      <c r="N9" s="20"/>
      <c r="O9" s="26">
        <v>100</v>
      </c>
      <c r="P9" s="26">
        <v>5</v>
      </c>
      <c r="Q9" s="13">
        <f t="shared" si="0"/>
        <v>0.12803687993289598</v>
      </c>
      <c r="R9" s="28"/>
      <c r="S9" s="29"/>
      <c r="T9" s="20"/>
      <c r="U9" s="26">
        <v>95</v>
      </c>
      <c r="V9" s="26">
        <v>7</v>
      </c>
      <c r="W9" s="13">
        <f t="shared" si="1"/>
        <v>-13.571428571428571</v>
      </c>
      <c r="X9" s="24">
        <v>154</v>
      </c>
      <c r="Y9" s="25">
        <v>10</v>
      </c>
      <c r="Z9" s="20"/>
      <c r="AA9" s="26">
        <v>150</v>
      </c>
      <c r="AB9" s="26">
        <v>10</v>
      </c>
      <c r="AC9" s="13">
        <f t="shared" si="2"/>
        <v>0.28284271247461901</v>
      </c>
      <c r="AD9" s="24">
        <v>9.1999999999999993</v>
      </c>
      <c r="AE9" s="25">
        <f>AD9*0.2</f>
        <v>1.8399999999999999</v>
      </c>
      <c r="AF9" s="20"/>
      <c r="AG9" s="26">
        <v>11</v>
      </c>
      <c r="AH9" s="27">
        <f t="shared" si="7"/>
        <v>0.55000000000000004</v>
      </c>
      <c r="AI9" s="13">
        <f t="shared" si="3"/>
        <v>-0.93728390855740162</v>
      </c>
      <c r="AJ9" s="24">
        <f>4.7</f>
        <v>4.7</v>
      </c>
      <c r="AK9" s="25">
        <f>AJ9*0.2</f>
        <v>0.94000000000000006</v>
      </c>
      <c r="AL9" s="20"/>
      <c r="AM9" s="26">
        <v>5</v>
      </c>
      <c r="AN9" s="26">
        <f t="shared" si="8"/>
        <v>0.75</v>
      </c>
      <c r="AO9" s="13">
        <f t="shared" si="4"/>
        <v>-0.24947216250408175</v>
      </c>
      <c r="AP9" s="24">
        <v>15.2</v>
      </c>
      <c r="AQ9" s="25">
        <f>AP9*0.2</f>
        <v>3.04</v>
      </c>
      <c r="AR9" s="20"/>
      <c r="AS9" s="24">
        <v>15</v>
      </c>
      <c r="AT9" s="25">
        <f t="shared" si="5"/>
        <v>3.75</v>
      </c>
      <c r="AU9" s="13">
        <f t="shared" si="6"/>
        <v>4.1429894564112987E-2</v>
      </c>
    </row>
    <row r="10" spans="1:47" s="2" customFormat="1" x14ac:dyDescent="0.25">
      <c r="B10" s="33" t="s">
        <v>35</v>
      </c>
      <c r="C10" s="6">
        <v>4</v>
      </c>
      <c r="D10" s="6" t="s">
        <v>28</v>
      </c>
      <c r="E10" s="7" t="s">
        <v>41</v>
      </c>
      <c r="F10" s="7" t="s">
        <v>27</v>
      </c>
      <c r="G10" s="19" t="s">
        <v>68</v>
      </c>
      <c r="H10" s="19" t="s">
        <v>75</v>
      </c>
      <c r="I10" s="7" t="s">
        <v>83</v>
      </c>
      <c r="J10" s="19">
        <v>45511</v>
      </c>
      <c r="K10" s="19" t="s">
        <v>87</v>
      </c>
      <c r="L10" s="39">
        <v>90</v>
      </c>
      <c r="M10" s="25">
        <v>5</v>
      </c>
      <c r="N10" s="20"/>
      <c r="O10" s="26">
        <v>100</v>
      </c>
      <c r="P10" s="26">
        <v>5</v>
      </c>
      <c r="Q10" s="13">
        <f t="shared" si="0"/>
        <v>-1.4142135623730949</v>
      </c>
      <c r="R10" s="24">
        <v>93</v>
      </c>
      <c r="S10" s="25">
        <v>7</v>
      </c>
      <c r="T10" s="20"/>
      <c r="U10" s="26">
        <v>95</v>
      </c>
      <c r="V10" s="26">
        <v>7</v>
      </c>
      <c r="W10" s="13">
        <f t="shared" si="1"/>
        <v>-0.20203050891044214</v>
      </c>
      <c r="X10" s="24">
        <v>152</v>
      </c>
      <c r="Y10" s="25">
        <v>11</v>
      </c>
      <c r="Z10" s="20"/>
      <c r="AA10" s="26">
        <v>150</v>
      </c>
      <c r="AB10" s="26">
        <v>10</v>
      </c>
      <c r="AC10" s="13">
        <f t="shared" si="2"/>
        <v>0.13453455879926249</v>
      </c>
      <c r="AD10" s="24">
        <v>10.3</v>
      </c>
      <c r="AE10" s="25">
        <f>AD10*0.15</f>
        <v>1.5450000000000002</v>
      </c>
      <c r="AF10" s="20"/>
      <c r="AG10" s="26">
        <v>11</v>
      </c>
      <c r="AH10" s="27">
        <f t="shared" si="7"/>
        <v>0.55000000000000004</v>
      </c>
      <c r="AI10" s="13">
        <f t="shared" si="3"/>
        <v>-0.42683521952421077</v>
      </c>
      <c r="AJ10" s="24">
        <v>4.4000000000000004</v>
      </c>
      <c r="AK10" s="25">
        <f>AJ10*0.18</f>
        <v>0.79200000000000004</v>
      </c>
      <c r="AL10" s="20"/>
      <c r="AM10" s="26">
        <v>5</v>
      </c>
      <c r="AN10" s="26">
        <f t="shared" si="8"/>
        <v>0.75</v>
      </c>
      <c r="AO10" s="13">
        <f t="shared" si="4"/>
        <v>-0.55007364603937503</v>
      </c>
      <c r="AP10" s="24">
        <v>18.100000000000001</v>
      </c>
      <c r="AQ10" s="25">
        <f>AP10*0.15</f>
        <v>2.7150000000000003</v>
      </c>
      <c r="AR10" s="20"/>
      <c r="AS10" s="24">
        <v>15</v>
      </c>
      <c r="AT10" s="25">
        <f t="shared" si="5"/>
        <v>3.75</v>
      </c>
      <c r="AU10" s="13">
        <f t="shared" si="6"/>
        <v>0.66959602475412061</v>
      </c>
    </row>
  </sheetData>
  <autoFilter ref="C2:C10"/>
  <dataConsolidate/>
  <mergeCells count="16">
    <mergeCell ref="AP2:AU2"/>
    <mergeCell ref="B2:B3"/>
    <mergeCell ref="R2:W2"/>
    <mergeCell ref="X2:AC2"/>
    <mergeCell ref="AD2:AI2"/>
    <mergeCell ref="AJ2:AO2"/>
    <mergeCell ref="L2:Q2"/>
    <mergeCell ref="D2:D3"/>
    <mergeCell ref="F2:F3"/>
    <mergeCell ref="C2:C3"/>
    <mergeCell ref="E2:E3"/>
    <mergeCell ref="G2:G3"/>
    <mergeCell ref="H2:H3"/>
    <mergeCell ref="I2:I3"/>
    <mergeCell ref="J2:J3"/>
    <mergeCell ref="K2:K3"/>
  </mergeCells>
  <phoneticPr fontId="1" type="noConversion"/>
  <dataValidations count="1">
    <dataValidation type="list" allowBlank="1" showInputMessage="1" showErrorMessage="1" sqref="N11:N1048576">
      <formula1>#REF!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#REF!</xm:f>
          </x14:formula1>
          <xm:sqref>AL4:AL10 N4:N10 T4:T10 Z4:Z10 AF4:AF10 AR4:AR10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Результаты участников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0</dc:description>
  <cp:lastModifiedBy>akolodka</cp:lastModifiedBy>
  <dcterms:created xsi:type="dcterms:W3CDTF">2015-06-05T18:19:34Z</dcterms:created>
  <dcterms:modified xsi:type="dcterms:W3CDTF">2024-08-28T16:37:25Z</dcterms:modified>
  <cp:contentStatus/>
</cp:coreProperties>
</file>